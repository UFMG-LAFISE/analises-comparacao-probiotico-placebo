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-preintervencao" sheetId="1" r:id="rId5"/>
    <sheet state="visible" name="PLA-posintervecao" sheetId="2" r:id="rId6"/>
    <sheet state="visible" name="SUPL-preintervencao" sheetId="3" r:id="rId7"/>
    <sheet state="visible" name="SUPL-posintervencao" sheetId="4" r:id="rId8"/>
  </sheets>
  <definedNames/>
  <calcPr/>
</workbook>
</file>

<file path=xl/sharedStrings.xml><?xml version="1.0" encoding="utf-8"?>
<sst xmlns="http://schemas.openxmlformats.org/spreadsheetml/2006/main" count="46" uniqueCount="21">
  <si>
    <t>tempo</t>
  </si>
  <si>
    <t>participante1</t>
  </si>
  <si>
    <t>participante4</t>
  </si>
  <si>
    <t>participante6</t>
  </si>
  <si>
    <t>participante8</t>
  </si>
  <si>
    <t>participante9</t>
  </si>
  <si>
    <t>participante12</t>
  </si>
  <si>
    <t>participante13</t>
  </si>
  <si>
    <t>participante16</t>
  </si>
  <si>
    <t>participante18</t>
  </si>
  <si>
    <t>participante20</t>
  </si>
  <si>
    <t>10 km</t>
  </si>
  <si>
    <t>participante2</t>
  </si>
  <si>
    <t>participante3</t>
  </si>
  <si>
    <t>participante5</t>
  </si>
  <si>
    <t>participante7</t>
  </si>
  <si>
    <t>participante10</t>
  </si>
  <si>
    <t>participante11</t>
  </si>
  <si>
    <t>participante14</t>
  </si>
  <si>
    <t>participante15</t>
  </si>
  <si>
    <t>participante19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</si>
</sst>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2" numFmtId="0" xfId="0" applyAlignment="1" applyFont="1">
      <alignment horizontal="left" vertical="bottom"/>
    </xf>
    <xf borderId="0" fillId="0" fontId="2" numFmtId="2" xfId="0" applyAlignment="1" applyFont="1" applyNumberForma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0" fontId="2" numFmtId="2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center"/>
    </xf>
    <xf borderId="0" fillId="0" fontId="2" numFmtId="2" xfId="0" applyAlignment="1" applyFont="1" applyNumberFormat="1">
      <alignment horizontal="left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2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>
        <f>45+(24/60)</f>
        <v>45.4</v>
      </c>
      <c r="C2" s="4">
        <f>60+(0/60)</f>
        <v>60</v>
      </c>
      <c r="D2" s="4">
        <f>60+(15/60)</f>
        <v>60.25</v>
      </c>
      <c r="E2" s="4">
        <f>55+(49/60)</f>
        <v>55.81666667</v>
      </c>
      <c r="F2" s="4">
        <v>50.0</v>
      </c>
      <c r="G2" s="4">
        <v>57.38</v>
      </c>
      <c r="H2" s="5">
        <f>47+(58/60)</f>
        <v>47.96666667</v>
      </c>
      <c r="I2" s="5">
        <f>55+(39/60)</f>
        <v>55.65</v>
      </c>
      <c r="J2" s="5">
        <f>52+(10/60)</f>
        <v>52.16666667</v>
      </c>
      <c r="K2" s="5">
        <f>59+(57/60)</f>
        <v>59.95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8"/>
      <c r="C12" s="8"/>
      <c r="D12" s="8"/>
      <c r="E12" s="8"/>
      <c r="F12" s="8"/>
      <c r="G12" s="8"/>
      <c r="H12" s="7"/>
      <c r="I12" s="7"/>
      <c r="J12" s="7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9">
        <v>44.28</v>
      </c>
      <c r="C2" s="10">
        <f>50+(0/60)</f>
        <v>50</v>
      </c>
      <c r="D2" s="10">
        <f>60+(31/60)</f>
        <v>60.51666667</v>
      </c>
      <c r="E2" s="10">
        <f>53+(48/60)</f>
        <v>53.8</v>
      </c>
      <c r="F2" s="10">
        <f>59+(32/60)</f>
        <v>59.53333333</v>
      </c>
      <c r="G2" s="9">
        <v>56.0</v>
      </c>
      <c r="H2" s="10">
        <f>55+(25/60)</f>
        <v>55.41666667</v>
      </c>
      <c r="I2" s="4">
        <f>60+(3/60)</f>
        <v>60.05</v>
      </c>
      <c r="J2" s="5">
        <f>51+(2/60)</f>
        <v>51.03333333</v>
      </c>
      <c r="K2" s="5">
        <f>64+(4/60)</f>
        <v>64.06666667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6"/>
      <c r="C12" s="8"/>
      <c r="D12" s="8"/>
      <c r="E12" s="8"/>
      <c r="F12" s="8"/>
      <c r="G12" s="7"/>
      <c r="H12" s="8"/>
      <c r="I12" s="8"/>
      <c r="J12" s="7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5">
        <f>60+(9/60)</f>
        <v>60.15</v>
      </c>
      <c r="C2" s="5">
        <f>53+(30/60)</f>
        <v>53.5</v>
      </c>
      <c r="D2" s="5">
        <f>60+(9/60)</f>
        <v>60.15</v>
      </c>
      <c r="E2" s="5">
        <v>45.4</v>
      </c>
      <c r="F2" s="5">
        <v>53.43</v>
      </c>
      <c r="G2" s="5">
        <v>60.13</v>
      </c>
      <c r="H2" s="5">
        <f>57+(23/60)</f>
        <v>57.38333333</v>
      </c>
      <c r="I2" s="5">
        <f>59+(52/60)</f>
        <v>59.86666667</v>
      </c>
      <c r="J2" s="11">
        <v>71.33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/>
      <c r="B5" s="7"/>
      <c r="C5" s="7"/>
      <c r="D5" s="7"/>
      <c r="E5" s="7"/>
      <c r="F5" s="7"/>
      <c r="G5" s="7"/>
      <c r="H5" s="7"/>
      <c r="I5" s="7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7"/>
      <c r="C6" s="7"/>
      <c r="D6" s="7"/>
      <c r="E6" s="7"/>
      <c r="F6" s="7"/>
      <c r="G6" s="7"/>
      <c r="H6" s="7"/>
      <c r="I6" s="7"/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7"/>
      <c r="C7" s="7"/>
      <c r="D7" s="7"/>
      <c r="E7" s="7"/>
      <c r="F7" s="7"/>
      <c r="G7" s="7"/>
      <c r="H7" s="7"/>
      <c r="I7" s="7"/>
      <c r="J7" s="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/>
      <c r="B8" s="7"/>
      <c r="C8" s="7"/>
      <c r="D8" s="7"/>
      <c r="E8" s="7"/>
      <c r="F8" s="7"/>
      <c r="G8" s="7"/>
      <c r="H8" s="7"/>
      <c r="I8" s="7"/>
      <c r="J8" s="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/>
      <c r="B9" s="7"/>
      <c r="C9" s="7"/>
      <c r="D9" s="7"/>
      <c r="E9" s="7"/>
      <c r="F9" s="7"/>
      <c r="G9" s="7"/>
      <c r="H9" s="7"/>
      <c r="I9" s="7"/>
      <c r="J9" s="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/>
      <c r="B10" s="7"/>
      <c r="C10" s="7"/>
      <c r="D10" s="7"/>
      <c r="E10" s="7"/>
      <c r="F10" s="7"/>
      <c r="G10" s="7"/>
      <c r="H10" s="7"/>
      <c r="I10" s="7"/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7"/>
      <c r="C11" s="7"/>
      <c r="D11" s="7"/>
      <c r="E11" s="7"/>
      <c r="F11" s="7"/>
      <c r="G11" s="7"/>
      <c r="H11" s="7"/>
      <c r="I11" s="7"/>
      <c r="J11" s="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6"/>
      <c r="C12" s="6"/>
      <c r="D12" s="6"/>
      <c r="E12" s="6"/>
      <c r="F12" s="6"/>
      <c r="G12" s="6"/>
      <c r="H12" s="7"/>
      <c r="I12" s="7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  <c r="J1" s="13" t="s">
        <v>20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3" t="s">
        <v>11</v>
      </c>
      <c r="B2" s="5">
        <v>60.0</v>
      </c>
      <c r="C2" s="4">
        <f>54+(59/60)</f>
        <v>54.98333333</v>
      </c>
      <c r="D2" s="4">
        <f>60+(12/60)</f>
        <v>60.2</v>
      </c>
      <c r="E2" s="5">
        <v>42.5</v>
      </c>
      <c r="F2" s="5">
        <v>53.0</v>
      </c>
      <c r="G2" s="5">
        <v>60.4</v>
      </c>
      <c r="H2" s="4">
        <f>57+(17/60)</f>
        <v>57.28333333</v>
      </c>
      <c r="I2" s="4">
        <f>59+(9/60)</f>
        <v>59.15</v>
      </c>
      <c r="J2" s="14">
        <v>71.0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3"/>
      <c r="B3" s="5"/>
      <c r="C3" s="4"/>
      <c r="D3" s="5"/>
      <c r="E3" s="5"/>
      <c r="F3" s="5"/>
      <c r="G3" s="5"/>
      <c r="H3" s="5"/>
      <c r="I3" s="5"/>
      <c r="J3" s="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/>
      <c r="B4" s="5"/>
      <c r="C4" s="5"/>
      <c r="D4" s="5"/>
      <c r="E4" s="5"/>
      <c r="F4" s="5"/>
      <c r="G4" s="5"/>
      <c r="H4" s="5"/>
      <c r="I4" s="5"/>
      <c r="J4" s="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"/>
      <c r="B5" s="5"/>
      <c r="C5" s="5"/>
      <c r="D5" s="5"/>
      <c r="E5" s="5"/>
      <c r="F5" s="5"/>
      <c r="G5" s="5"/>
      <c r="H5" s="5"/>
      <c r="I5" s="5"/>
      <c r="J5" s="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3"/>
      <c r="B6" s="5"/>
      <c r="C6" s="5"/>
      <c r="D6" s="5"/>
      <c r="E6" s="5"/>
      <c r="F6" s="5"/>
      <c r="G6" s="5"/>
      <c r="H6" s="5"/>
      <c r="I6" s="5"/>
      <c r="J6" s="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3"/>
      <c r="B7" s="5"/>
      <c r="C7" s="5"/>
      <c r="D7" s="5"/>
      <c r="E7" s="5"/>
      <c r="F7" s="5"/>
      <c r="G7" s="5"/>
      <c r="H7" s="5"/>
      <c r="I7" s="5"/>
      <c r="J7" s="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"/>
      <c r="B8" s="5"/>
      <c r="C8" s="5"/>
      <c r="D8" s="5"/>
      <c r="E8" s="5"/>
      <c r="F8" s="5"/>
      <c r="G8" s="5"/>
      <c r="H8" s="5"/>
      <c r="I8" s="5"/>
      <c r="J8" s="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3"/>
      <c r="B9" s="5"/>
      <c r="C9" s="5"/>
      <c r="D9" s="5"/>
      <c r="E9" s="5"/>
      <c r="F9" s="5"/>
      <c r="G9" s="5"/>
      <c r="H9" s="5"/>
      <c r="I9" s="5"/>
      <c r="J9" s="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"/>
      <c r="B10" s="5"/>
      <c r="C10" s="5"/>
      <c r="D10" s="5"/>
      <c r="E10" s="5"/>
      <c r="F10" s="5"/>
      <c r="G10" s="4"/>
      <c r="H10" s="5"/>
      <c r="I10" s="5"/>
      <c r="J10" s="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3"/>
      <c r="B11" s="5"/>
      <c r="C11" s="5"/>
      <c r="D11" s="5"/>
      <c r="E11" s="5"/>
      <c r="F11" s="5"/>
      <c r="G11" s="4"/>
      <c r="H11" s="5"/>
      <c r="I11" s="5"/>
      <c r="J11" s="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3"/>
      <c r="B12" s="3"/>
      <c r="C12" s="4"/>
      <c r="D12" s="4"/>
      <c r="E12" s="3"/>
      <c r="F12" s="5"/>
      <c r="G12" s="3"/>
      <c r="H12" s="4"/>
      <c r="I12" s="4"/>
      <c r="J12" s="15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